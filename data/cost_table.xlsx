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3P747/Documents/Projects/AGU/2024/presentation data/"/>
    </mc:Choice>
  </mc:AlternateContent>
  <xr:revisionPtr revIDLastSave="0" documentId="13_ncr:1_{65854111-9F50-BB40-9ACE-A087A61D5B01}" xr6:coauthVersionLast="47" xr6:coauthVersionMax="47" xr10:uidLastSave="{00000000-0000-0000-0000-000000000000}"/>
  <bookViews>
    <workbookView xWindow="380" yWindow="500" windowWidth="28040" windowHeight="16020" activeTab="1" xr2:uid="{A2F07E66-5744-B445-868E-07C3FC725B3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2" l="1"/>
  <c r="K26" i="2"/>
  <c r="J26" i="2"/>
  <c r="I26" i="2"/>
  <c r="H26" i="2"/>
  <c r="G26" i="2"/>
  <c r="F26" i="2"/>
</calcChain>
</file>

<file path=xl/sharedStrings.xml><?xml version="1.0" encoding="utf-8"?>
<sst xmlns="http://schemas.openxmlformats.org/spreadsheetml/2006/main" count="34" uniqueCount="31">
  <si>
    <t>Year</t>
  </si>
  <si>
    <t>hicost</t>
  </si>
  <si>
    <t>locost</t>
  </si>
  <si>
    <t>H2</t>
  </si>
  <si>
    <t>Wind</t>
  </si>
  <si>
    <t>PV</t>
  </si>
  <si>
    <t>Africa_Northern traded ammonia</t>
  </si>
  <si>
    <t>Africa_Western traded ammonia</t>
  </si>
  <si>
    <t>Canada traded ammonia</t>
  </si>
  <si>
    <t>Central America and Caribbean traded ammonia</t>
  </si>
  <si>
    <t>Central Asia traded ammonia</t>
  </si>
  <si>
    <t>China traded ammonia</t>
  </si>
  <si>
    <t>EU-12 traded ammonia</t>
  </si>
  <si>
    <t>Europe_Eastern traded ammonia</t>
  </si>
  <si>
    <t>European Free Trade Association traded ammonia</t>
  </si>
  <si>
    <t>Indonesia traded ammonia</t>
  </si>
  <si>
    <t>Japan traded ammonia</t>
  </si>
  <si>
    <t>Mexico traded ammonia</t>
  </si>
  <si>
    <t>Middle East traded ammonia</t>
  </si>
  <si>
    <t>Russia traded ammonia</t>
  </si>
  <si>
    <t>South Africa traded ammonia</t>
  </si>
  <si>
    <t>South America_Northern traded ammonia</t>
  </si>
  <si>
    <t>South Korea traded ammonia</t>
  </si>
  <si>
    <t>USA traded ammonia</t>
  </si>
  <si>
    <t>subsector</t>
  </si>
  <si>
    <t>elec_NH3_locost_NH3ship</t>
  </si>
  <si>
    <t>NGCCS_NH3</t>
  </si>
  <si>
    <t>NGCCS_NH3_NH3ship</t>
  </si>
  <si>
    <t>elec_NH3_hicost</t>
  </si>
  <si>
    <t>elec_NH3_hicost_NH3ship</t>
  </si>
  <si>
    <t>elec_NH3_locost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</si>
</sst>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8"/>
      <name val="Arial"/>
      <family val="2"/>
    </font>
    <font>
      <b/>
      <sz val="1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63F1E"/>
        <bgColor indexed="64"/>
      </patternFill>
    </fill>
    <fill>
      <patternFill patternType="solid">
        <fgColor rgb="FFE1CECC"/>
        <bgColor indexed="64"/>
      </patternFill>
    </fill>
    <fill>
      <patternFill patternType="solid">
        <fgColor rgb="FFF1E8E7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 wrapText="1" readingOrder="1"/>
    </xf>
    <xf numFmtId="0" fontId="1" fillId="3" borderId="5" xfId="0" applyFont="1" applyFill="1" applyBorder="1" applyAlignment="1">
      <alignment horizontal="center" wrapText="1"/>
    </xf>
    <xf numFmtId="1" fontId="1" fillId="4" borderId="6" xfId="0" applyNumberFormat="1" applyFont="1" applyFill="1" applyBorder="1" applyAlignment="1">
      <alignment horizontal="center" wrapText="1"/>
    </xf>
    <xf numFmtId="1" fontId="1" fillId="3" borderId="6" xfId="0" applyNumberFormat="1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left" wrapText="1"/>
    </xf>
    <xf numFmtId="1" fontId="1" fillId="4" borderId="6" xfId="0" applyNumberFormat="1" applyFont="1" applyFill="1" applyBorder="1" applyAlignment="1">
      <alignment horizontal="left" wrapText="1"/>
    </xf>
    <xf numFmtId="1" fontId="1" fillId="3" borderId="6" xfId="0" applyNumberFormat="1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2" fillId="2" borderId="4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DC45-FBC4-014C-949F-30A673F01398}">
  <dimension ref="C3:I10"/>
  <sheetViews>
    <sheetView workbookViewId="0">
      <selection activeCell="F19" sqref="F19"/>
    </sheetView>
  </sheetViews>
  <sheetFormatPr baseColWidth="10" defaultRowHeight="16" x14ac:dyDescent="0.2"/>
  <cols>
    <col min="7" max="7" width="12.5" bestFit="1" customWidth="1"/>
  </cols>
  <sheetData>
    <row r="3" spans="3:9" ht="17" thickBot="1" x14ac:dyDescent="0.25"/>
    <row r="4" spans="3:9" ht="25" thickBot="1" x14ac:dyDescent="0.3">
      <c r="C4" s="1" t="s">
        <v>0</v>
      </c>
      <c r="D4" s="8" t="s">
        <v>1</v>
      </c>
      <c r="E4" s="9"/>
      <c r="F4" s="10"/>
      <c r="G4" s="8" t="s">
        <v>2</v>
      </c>
      <c r="H4" s="9"/>
      <c r="I4" s="10"/>
    </row>
    <row r="5" spans="3:9" ht="26" thickTop="1" thickBot="1" x14ac:dyDescent="0.3">
      <c r="C5" s="5"/>
      <c r="D5" s="2" t="s">
        <v>4</v>
      </c>
      <c r="E5" s="2" t="s">
        <v>5</v>
      </c>
      <c r="F5" s="2" t="s">
        <v>3</v>
      </c>
      <c r="G5" s="2" t="s">
        <v>4</v>
      </c>
      <c r="H5" s="2" t="s">
        <v>5</v>
      </c>
      <c r="I5" s="2" t="s">
        <v>3</v>
      </c>
    </row>
    <row r="6" spans="3:9" ht="24" thickBot="1" x14ac:dyDescent="0.3">
      <c r="C6" s="6">
        <v>2020</v>
      </c>
      <c r="D6" s="3">
        <v>1542.8</v>
      </c>
      <c r="E6" s="3">
        <v>1816.3999999999999</v>
      </c>
      <c r="F6" s="3">
        <v>1590</v>
      </c>
      <c r="G6" s="3">
        <v>1470.6</v>
      </c>
      <c r="H6" s="3">
        <v>1527.6</v>
      </c>
      <c r="I6" s="3">
        <v>1590</v>
      </c>
    </row>
    <row r="7" spans="3:9" ht="24" thickBot="1" x14ac:dyDescent="0.3">
      <c r="C7" s="7">
        <v>2025</v>
      </c>
      <c r="D7" s="4">
        <v>1409.8</v>
      </c>
      <c r="E7" s="4">
        <v>1394.6</v>
      </c>
      <c r="F7" s="4">
        <v>1248</v>
      </c>
      <c r="G7" s="4">
        <v>1295.8</v>
      </c>
      <c r="H7" s="4">
        <v>999.4</v>
      </c>
      <c r="I7" s="4">
        <v>696</v>
      </c>
    </row>
    <row r="8" spans="3:9" ht="24" thickBot="1" x14ac:dyDescent="0.3">
      <c r="C8" s="6">
        <v>2030</v>
      </c>
      <c r="D8" s="3">
        <v>1311</v>
      </c>
      <c r="E8" s="3">
        <v>1143.8</v>
      </c>
      <c r="F8" s="3">
        <v>720</v>
      </c>
      <c r="G8" s="3">
        <v>1162.8</v>
      </c>
      <c r="H8" s="3">
        <v>718.19999999999993</v>
      </c>
      <c r="I8" s="3">
        <v>270</v>
      </c>
    </row>
    <row r="9" spans="3:9" ht="24" thickBot="1" x14ac:dyDescent="0.3">
      <c r="C9" s="7">
        <v>2035</v>
      </c>
      <c r="D9" s="4">
        <v>1231.2</v>
      </c>
      <c r="E9" s="4">
        <v>999.4</v>
      </c>
      <c r="F9" s="4">
        <v>631</v>
      </c>
      <c r="G9" s="4">
        <v>1067.8</v>
      </c>
      <c r="H9" s="4">
        <v>570</v>
      </c>
      <c r="I9" s="4">
        <v>239</v>
      </c>
    </row>
    <row r="10" spans="3:9" ht="24" thickBot="1" x14ac:dyDescent="0.3">
      <c r="C10" s="6">
        <v>2050</v>
      </c>
      <c r="D10" s="3">
        <v>1086.8</v>
      </c>
      <c r="E10" s="3">
        <v>828.4</v>
      </c>
      <c r="F10" s="3">
        <v>613</v>
      </c>
      <c r="G10" s="3">
        <v>908.19999999999993</v>
      </c>
      <c r="H10" s="3">
        <v>429.4</v>
      </c>
      <c r="I10" s="3">
        <v>239</v>
      </c>
    </row>
  </sheetData>
  <mergeCells count="2">
    <mergeCell ref="D4:F4"/>
    <mergeCell ref="G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602C-F208-3C45-86CD-C40B20B5BFE6}">
  <dimension ref="E6:L26"/>
  <sheetViews>
    <sheetView tabSelected="1" workbookViewId="0">
      <selection activeCell="G10" sqref="G10"/>
    </sheetView>
  </sheetViews>
  <sheetFormatPr baseColWidth="10" defaultRowHeight="16" x14ac:dyDescent="0.2"/>
  <cols>
    <col min="5" max="5" width="41.6640625" bestFit="1" customWidth="1"/>
    <col min="7" max="7" width="23.1640625" bestFit="1" customWidth="1"/>
    <col min="8" max="8" width="12" bestFit="1" customWidth="1"/>
    <col min="9" max="9" width="20" bestFit="1" customWidth="1"/>
    <col min="10" max="10" width="15" bestFit="1" customWidth="1"/>
    <col min="11" max="11" width="23.1640625" bestFit="1" customWidth="1"/>
  </cols>
  <sheetData>
    <row r="6" spans="5:12" x14ac:dyDescent="0.2">
      <c r="G6">
        <v>2050</v>
      </c>
    </row>
    <row r="7" spans="5:12" x14ac:dyDescent="0.2">
      <c r="E7" t="s">
        <v>24</v>
      </c>
      <c r="F7">
        <v>2015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</row>
    <row r="8" spans="5:12" x14ac:dyDescent="0.2">
      <c r="E8" t="s">
        <v>6</v>
      </c>
      <c r="F8">
        <v>2.6643599999999998</v>
      </c>
      <c r="G8">
        <v>23.815200000000001</v>
      </c>
      <c r="H8">
        <v>4.27163</v>
      </c>
      <c r="I8">
        <v>20.3901</v>
      </c>
      <c r="J8">
        <v>4.6662600000000003</v>
      </c>
      <c r="K8">
        <v>21.822600000000001</v>
      </c>
      <c r="L8">
        <v>4.8700599999999996</v>
      </c>
    </row>
    <row r="9" spans="5:12" x14ac:dyDescent="0.2">
      <c r="E9" t="s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5:12" x14ac:dyDescent="0.2">
      <c r="E10" t="s">
        <v>8</v>
      </c>
      <c r="F10">
        <v>1.2396499999999999</v>
      </c>
      <c r="G10">
        <v>8.5540099999999999</v>
      </c>
      <c r="H10">
        <v>1.8273699999999999</v>
      </c>
      <c r="I10">
        <v>8.7869899999999994</v>
      </c>
      <c r="J10">
        <v>1.8511500000000001</v>
      </c>
      <c r="K10">
        <v>8.5846499999999999</v>
      </c>
      <c r="L10">
        <v>1.7718100000000001</v>
      </c>
    </row>
    <row r="11" spans="5:12" x14ac:dyDescent="0.2">
      <c r="E11" t="s">
        <v>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5:12" x14ac:dyDescent="0.2">
      <c r="E12" t="s">
        <v>10</v>
      </c>
      <c r="F12">
        <v>9.4480800000000004E-2</v>
      </c>
      <c r="G12">
        <v>0.90371299999999999</v>
      </c>
      <c r="H12">
        <v>0.179894</v>
      </c>
      <c r="I12">
        <v>0.85860499999999995</v>
      </c>
      <c r="J12">
        <v>0.18517800000000001</v>
      </c>
      <c r="K12">
        <v>0.86713499999999999</v>
      </c>
      <c r="L12">
        <v>0.18512300000000001</v>
      </c>
    </row>
    <row r="13" spans="5:12" x14ac:dyDescent="0.2">
      <c r="E13" t="s">
        <v>11</v>
      </c>
      <c r="F13">
        <v>4.5733300000000003</v>
      </c>
      <c r="G13">
        <v>43.193300000000001</v>
      </c>
      <c r="H13">
        <v>6.6046500000000004</v>
      </c>
      <c r="I13">
        <v>30.601500000000001</v>
      </c>
      <c r="J13">
        <v>8.6687700000000003</v>
      </c>
      <c r="K13">
        <v>40.3613</v>
      </c>
      <c r="L13">
        <v>8.8671600000000002</v>
      </c>
    </row>
    <row r="14" spans="5:12" x14ac:dyDescent="0.2">
      <c r="E14" t="s">
        <v>12</v>
      </c>
      <c r="F14">
        <v>1.3646799999999999</v>
      </c>
      <c r="G14">
        <v>14.821199999999999</v>
      </c>
      <c r="H14">
        <v>3.1186099999999999</v>
      </c>
      <c r="I14">
        <v>14.5623</v>
      </c>
      <c r="J14">
        <v>3.2188500000000002</v>
      </c>
      <c r="K14">
        <v>14.5641</v>
      </c>
      <c r="L14">
        <v>3.1524399999999999</v>
      </c>
    </row>
    <row r="15" spans="5:12" x14ac:dyDescent="0.2">
      <c r="E15" t="s">
        <v>13</v>
      </c>
      <c r="F15">
        <v>0.726912</v>
      </c>
      <c r="G15">
        <v>7.2426700000000004</v>
      </c>
      <c r="H15">
        <v>1.58236</v>
      </c>
      <c r="I15">
        <v>7.5356699999999996</v>
      </c>
      <c r="J15">
        <v>1.48071</v>
      </c>
      <c r="K15">
        <v>6.9176399999999996</v>
      </c>
      <c r="L15">
        <v>1.4889300000000001</v>
      </c>
    </row>
    <row r="16" spans="5:12" x14ac:dyDescent="0.2">
      <c r="E16" t="s">
        <v>14</v>
      </c>
      <c r="F16">
        <v>0.42894199999999999</v>
      </c>
      <c r="G16">
        <v>4.0829300000000002</v>
      </c>
      <c r="H16">
        <v>0.65731799999999996</v>
      </c>
      <c r="I16">
        <v>3.08779</v>
      </c>
      <c r="J16">
        <v>0.83264499999999997</v>
      </c>
      <c r="K16">
        <v>3.8963700000000001</v>
      </c>
      <c r="L16">
        <v>0.83813199999999999</v>
      </c>
    </row>
    <row r="17" spans="5:12" x14ac:dyDescent="0.2">
      <c r="E17" t="s">
        <v>15</v>
      </c>
      <c r="F17">
        <v>0.56708199999999997</v>
      </c>
      <c r="G17">
        <v>3.9237500000000001</v>
      </c>
      <c r="H17">
        <v>0.76576500000000003</v>
      </c>
      <c r="I17">
        <v>3.6634500000000001</v>
      </c>
      <c r="J17">
        <v>0.72168399999999999</v>
      </c>
      <c r="K17">
        <v>3.3923700000000001</v>
      </c>
      <c r="L17">
        <v>0.79952900000000005</v>
      </c>
    </row>
    <row r="18" spans="5:12" x14ac:dyDescent="0.2">
      <c r="E18" t="s">
        <v>16</v>
      </c>
      <c r="F18">
        <v>0.16100600000000001</v>
      </c>
      <c r="G18">
        <v>1.67567</v>
      </c>
      <c r="H18">
        <v>0.295933</v>
      </c>
      <c r="I18">
        <v>1.41862</v>
      </c>
      <c r="J18">
        <v>0.35814600000000002</v>
      </c>
      <c r="K18">
        <v>1.6460999999999999</v>
      </c>
      <c r="L18">
        <v>0.34992600000000001</v>
      </c>
    </row>
    <row r="19" spans="5:12" x14ac:dyDescent="0.2">
      <c r="E19" t="s">
        <v>17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5:12" x14ac:dyDescent="0.2">
      <c r="E20" t="s">
        <v>18</v>
      </c>
      <c r="F20">
        <v>9.7949099999999998</v>
      </c>
      <c r="G20">
        <v>81.017899999999997</v>
      </c>
      <c r="H20">
        <v>16.9876</v>
      </c>
      <c r="I20">
        <v>81.091300000000004</v>
      </c>
      <c r="J20">
        <v>15.5151</v>
      </c>
      <c r="K20">
        <v>72.329700000000003</v>
      </c>
      <c r="L20">
        <v>16.556899999999999</v>
      </c>
    </row>
    <row r="21" spans="5:12" x14ac:dyDescent="0.2">
      <c r="E21" t="s">
        <v>19</v>
      </c>
      <c r="F21">
        <v>8.2748500000000007</v>
      </c>
      <c r="G21">
        <v>47.773899999999998</v>
      </c>
      <c r="H21">
        <v>18.1675</v>
      </c>
      <c r="I21">
        <v>86.4191</v>
      </c>
      <c r="J21">
        <v>10.8323</v>
      </c>
      <c r="K21">
        <v>48.645200000000003</v>
      </c>
      <c r="L21">
        <v>10.235900000000001</v>
      </c>
    </row>
    <row r="22" spans="5:12" x14ac:dyDescent="0.2">
      <c r="E22" t="s">
        <v>20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5:12" x14ac:dyDescent="0.2">
      <c r="E23" t="s">
        <v>21</v>
      </c>
      <c r="F23">
        <v>0.245113</v>
      </c>
      <c r="G23">
        <v>2.00169</v>
      </c>
      <c r="H23">
        <v>0.38752399999999998</v>
      </c>
      <c r="I23">
        <v>1.8658699999999999</v>
      </c>
      <c r="J23">
        <v>0.40787600000000002</v>
      </c>
      <c r="K23">
        <v>1.8956999999999999</v>
      </c>
      <c r="L23">
        <v>0.41248899999999999</v>
      </c>
    </row>
    <row r="24" spans="5:12" x14ac:dyDescent="0.2">
      <c r="E24" t="s">
        <v>22</v>
      </c>
      <c r="F24">
        <v>0.15939300000000001</v>
      </c>
      <c r="G24">
        <v>1.42849</v>
      </c>
      <c r="H24">
        <v>0.183479</v>
      </c>
      <c r="I24">
        <v>0.88109400000000004</v>
      </c>
      <c r="J24">
        <v>0.29852800000000002</v>
      </c>
      <c r="K24">
        <v>1.33693</v>
      </c>
      <c r="L24">
        <v>0.30333700000000002</v>
      </c>
    </row>
    <row r="25" spans="5:12" x14ac:dyDescent="0.2">
      <c r="E25" t="s">
        <v>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5:12" x14ac:dyDescent="0.2">
      <c r="F26">
        <f>SUM(F8:F25)</f>
        <v>30.294708799999999</v>
      </c>
      <c r="G26">
        <f t="shared" ref="G26:L26" si="0">SUM(G8:G25)</f>
        <v>240.43442300000001</v>
      </c>
      <c r="H26">
        <f t="shared" si="0"/>
        <v>55.029633000000011</v>
      </c>
      <c r="I26">
        <f t="shared" si="0"/>
        <v>261.16238900000002</v>
      </c>
      <c r="J26">
        <f t="shared" si="0"/>
        <v>49.037196999999999</v>
      </c>
      <c r="K26">
        <f t="shared" si="0"/>
        <v>226.25979500000003</v>
      </c>
      <c r="L26">
        <f t="shared" si="0"/>
        <v>49.831735999999999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Kyle, G Page</dc:creator>
  <cp:lastModifiedBy>Kyle, G Page</cp:lastModifiedBy>
  <dcterms:created xsi:type="dcterms:W3CDTF">2024-12-09T12:29:14Z</dcterms:created>
  <dcterms:modified xsi:type="dcterms:W3CDTF">2024-12-09T17:46:21Z</dcterms:modified>
</cp:coreProperties>
</file>